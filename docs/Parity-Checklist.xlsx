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ity Checklist" sheetId="1" state="visible" r:id="rId3"/>
    <sheet name="Rollup" sheetId="2" state="visible" r:id="rId4"/>
    <sheet name="Legend" sheetId="3" state="visible" r:id="rId5"/>
  </sheets>
  <definedNames>
    <definedName function="false" hidden="true" localSheetId="0" name="_xlnm._FilterDatabase" vbProcedure="false">'Parity Checklist'!$A$1:$P$24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<sst xmlns="http://schemas.openxmlformats.org/spreadsheetml/2006/main" count="376" uniqueCount="247">
  <si>
    <t xml:space="preserve">ID</t>
  </si>
  <si>
    <t xml:space="preserve">Title</t>
  </si>
  <si>
    <t xml:space="preserve">Service crate</t>
  </si>
  <si>
    <t xml:space="preserve">Kernel IPC</t>
  </si>
  <si>
    <t xml:space="preserve">Shell plugin</t>
  </si>
  <si>
    <t xml:space="preserve">Legacy handler(s)</t>
  </si>
  <si>
    <t xml:space="preserve">Gap</t>
  </si>
  <si>
    <t xml:space="preserve">Size</t>
  </si>
  <si>
    <t xml:space="preserve">Est wk</t>
  </si>
  <si>
    <t xml:space="preserve">Priority</t>
  </si>
  <si>
    <t xml:space="preserve">Phase</t>
  </si>
  <si>
    <t xml:space="preserve">Status</t>
  </si>
  <si>
    <t xml:space="preserve">Owner</t>
  </si>
  <si>
    <t xml:space="preserve">Dependencies</t>
  </si>
  <si>
    <t xml:space="preserve">Acceptance</t>
  </si>
  <si>
    <t xml:space="preserve">Notes</t>
  </si>
  <si>
    <t xml:space="preserve">WI-01</t>
  </si>
  <si>
    <t xml:space="preserve">Port AI chat panel to shell (streaming + sessions)</t>
  </si>
  <si>
    <t xml:space="preserve">nexus-ai</t>
  </si>
  <si>
    <t xml:space="preserve">com.nexus.ai::config, stream_chat, stream_ask, session_load, session_save, session_list, session_delete</t>
  </si>
  <si>
    <t xml:space="preserve">shell/src/plugins/nexus/ai/  (currently skeleton)</t>
  </si>
  <si>
    <t xml:space="preserve">ai_config, ai_stream_chat, ai_stream_ask, ai_session_load, ai_session_save, ai_session_list, ai_session_delete</t>
  </si>
  <si>
    <t xml:space="preserve">only-app</t>
  </si>
  <si>
    <t xml:space="preserve">L</t>
  </si>
  <si>
    <t xml:space="preserve">P0</t>
  </si>
  <si>
    <t xml:space="preserve">P2a</t>
  </si>
  <si>
    <t xml:space="preserve">todo</t>
  </si>
  <si>
    <t xml:space="preserve">WI-06 (event bridge subscription)</t>
  </si>
  <si>
    <t xml:space="preserve">User can open AI chat, send a message, see streaming tokens render in real time; RAG 'Ask' against current forge returns cited sources; sessions persist across app restarts and are listable/deletable from the UI.</t>
  </si>
  <si>
    <t xml:space="preserve">Kernel IPC + event forwarders already work for legacy. Port ChatPanel.tsx and AgentHistoryPanel.tsx equivalents; subscribe to com.nexus.ai.stream_start/chunk/done via kernel_subscribe.</t>
  </si>
  <si>
    <t xml:space="preserve">WI-02</t>
  </si>
  <si>
    <t xml:space="preserve">Re-wire theme engine (brand-neutral redesign)</t>
  </si>
  <si>
    <t xml:space="preserve">nexus-theme</t>
  </si>
  <si>
    <t xml:space="preserve">com.nexus.theme::get_available_themes, apply_theme, compute_variables, get_available_snippets, toggle_snippet, reorder_snippets, get_theme_config, set_mode</t>
  </si>
  <si>
    <t xml:space="preserve">shell/src/plugins/core/themeService/  (intentionally excluded per main.tsx comment)</t>
  </si>
  <si>
    <t xml:space="preserve">get_available_themes, apply_theme, compute_variables, get_available_snippets, toggle_snippet, reorder_snippets, get_theme_config, set_mode</t>
  </si>
  <si>
    <t xml:space="preserve">P1</t>
  </si>
  <si>
    <t xml:space="preserve">Shell loads with default theme (dark), user can switch light/dark/system from settings; snippet cascade works; plugin-driven theme changes propagate via kernel bus and update :root CSS variables; no hardcoded 'Forge Ember' / 'Forge Paper' product names remain.</t>
  </si>
  <si>
    <t xml:space="preserve">Template's themeService plugin deliberately not loaded (comment in shell/src/main.tsx). Redesign manifest names to be brand-neutral; port snippet UI from app/src/components/settings/tabs/.</t>
  </si>
  <si>
    <t xml:space="preserve">WI-03</t>
  </si>
  <si>
    <t xml:space="preserve">Finish editor transaction wiring (Phases 0-8)</t>
  </si>
  <si>
    <t xml:space="preserve">nexus-editor</t>
  </si>
  <si>
    <t xml:space="preserve">com.nexus.editor::open, close, get_tree, save, apply_transaction, undo, redo, list_open, sync_content</t>
  </si>
  <si>
    <t xml:space="preserve">shell/src/plugins/nexus/editor/</t>
  </si>
  <si>
    <t xml:space="preserve">editor_apply_transaction, editor_undo, editor_redo</t>
  </si>
  <si>
    <t xml:space="preserve">partial</t>
  </si>
  <si>
    <t xml:space="preserve">editor-transaction-wiring-plan.md Phases 0-8 all marked complete; CM6 integration functional; echo-suppression works; session lifecycle refcount verified; undo/redo delegated to kernel UndoTree (not CM history); dirty-state revision-based.</t>
  </si>
  <si>
    <t xml:space="preserve">Per editor-transaction-wiring-plan. Current shell editor works for basics but full transaction model may be incomplete. Validate against plan phases.</t>
  </si>
  <si>
    <t xml:space="preserve">WI-04</t>
  </si>
  <si>
    <t xml:space="preserve">Keybinding overrides UI (HotkeysTab)</t>
  </si>
  <si>
    <t xml:space="preserve">(shell-local, no kernel service)</t>
  </si>
  <si>
    <t xml:space="preserve">(none — shell-side persistence via configStore)</t>
  </si>
  <si>
    <t xml:space="preserve">shell/src/plugins/core/settings/  (new subview)</t>
  </si>
  <si>
    <t xml:space="preserve">get_keybinding_overrides, set_keybinding_override, clear_keybinding_override</t>
  </si>
  <si>
    <t xml:space="preserve">S</t>
  </si>
  <si>
    <t xml:space="preserve">Settings &gt; Keybindings tab lists all registered commands with current bindings; user can rebind, clear, reset; overrides persist across restart; conflicts surface visibly.</t>
  </si>
  <si>
    <t xml:space="preserve">KeybindingRegistry exists in shell; no persistence UI yet. Port HotkeysTab.tsx logic.</t>
  </si>
  <si>
    <t xml:space="preserve">WI-05</t>
  </si>
  <si>
    <t xml:space="preserve">Saved terminal commands sidebar</t>
  </si>
  <si>
    <t xml:space="preserve">nexus-terminal</t>
  </si>
  <si>
    <t xml:space="preserve">com.nexus.terminal::saved_list, saved_create, saved_update, saved_delete, saved_reorder</t>
  </si>
  <si>
    <t xml:space="preserve">shell/src/plugins/nexus/terminal/  (new sub-view)</t>
  </si>
  <si>
    <t xml:space="preserve">term_saved_list, term_saved_create, term_saved_update, term_saved_delete, term_saved_reorder</t>
  </si>
  <si>
    <t xml:space="preserve">P2</t>
  </si>
  <si>
    <t xml:space="preserve">Terminal plugin exposes saved-commands side panel; user can add, edit, reorder, delete; click executes in active session; persists across restart.</t>
  </si>
  <si>
    <t xml:space="preserve">Kernel IPC is ready; 5 handlers already implemented. Frontend-only port.</t>
  </si>
  <si>
    <t xml:space="preserve">WI-06</t>
  </si>
  <si>
    <t xml:space="preserve">Generalize kernel_subscribe usage across streaming plugins</t>
  </si>
  <si>
    <t xml:space="preserve">(none — shell bridge)</t>
  </si>
  <si>
    <t xml:space="preserve">kernel_subscribe / kernel_unsubscribe (bridge.rs)</t>
  </si>
  <si>
    <t xml:space="preserve">shell/src/host/PluginAPI.ts — api.kernel.on(topic, handler)</t>
  </si>
  <si>
    <t xml:space="preserve">(N/A — legacy has bespoke per-topic forwarders)</t>
  </si>
  <si>
    <t xml:space="preserve">Shell plugins can subscribe to any com.nexus.* topic prefix via api.kernel.on(topic, handler) and receive all matching events; cleanup on plugin deactivate proven to release subscriptions (no leak in ExtensionHost reload test).</t>
  </si>
  <si>
    <t xml:space="preserve">Bridge commands exist. Validate end-to-end and document usage in @nexus/extension-api.</t>
  </si>
  <si>
    <t xml:space="preserve">WI-07</t>
  </si>
  <si>
    <t xml:space="preserve">Agent panel: approval loop + streaming progress</t>
  </si>
  <si>
    <t xml:space="preserve">nexus-agent</t>
  </si>
  <si>
    <t xml:space="preserve">com.nexus.agent::plan, run, run_plan, execute_step, history_list, history_get, history_delete + events run_start, step_start, step_done, run_done</t>
  </si>
  <si>
    <t xml:space="preserve">shell/src/plugins/nexus/agent/</t>
  </si>
  <si>
    <t xml:space="preserve">agent_plan, agent_run, agent_run_plan, agent_execute_step, agent_history_list, agent_history_get, agent_history_delete</t>
  </si>
  <si>
    <t xml:space="preserve">M</t>
  </si>
  <si>
    <t xml:space="preserve">P2b</t>
  </si>
  <si>
    <t xml:space="preserve">User can submit goal, see plan rendered, step through with approval loop, view streaming step progress, browse/delete persisted history.</t>
  </si>
  <si>
    <t xml:space="preserve">Plugin renders; some flows incomplete. Verify all 7 IPC commands exercised by UI.</t>
  </si>
  <si>
    <t xml:space="preserve">WI-08</t>
  </si>
  <si>
    <t xml:space="preserve">Skills browser: render with params</t>
  </si>
  <si>
    <t xml:space="preserve">nexus-skills</t>
  </si>
  <si>
    <t xml:space="preserve">com.nexus.skills::list, get, render, reload</t>
  </si>
  <si>
    <t xml:space="preserve">shell/src/plugins/nexus/skills/</t>
  </si>
  <si>
    <t xml:space="preserve">skills_list, skills_get, skills_render, skills_reload</t>
  </si>
  <si>
    <t xml:space="preserve">User can browse skills, select one, fill parameter form, see rendered output; reload picks up on-disk changes.</t>
  </si>
  <si>
    <t xml:space="preserve">Browser exists; render with parameter substitution may need porting from legacy SkillsPanel.tsx.</t>
  </si>
  <si>
    <t xml:space="preserve">WI-09</t>
  </si>
  <si>
    <t xml:space="preserve">Workflow: list/get/reload/validate UI flow</t>
  </si>
  <si>
    <t xml:space="preserve">nexus-workflow</t>
  </si>
  <si>
    <t xml:space="preserve">com.nexus.workflow::list, get, reload, validate</t>
  </si>
  <si>
    <t xml:space="preserve">shell/src/plugins/nexus/workflow/</t>
  </si>
  <si>
    <t xml:space="preserve">workflow_list, workflow_get, workflow_reload, workflow_validate</t>
  </si>
  <si>
    <t xml:space="preserve">User can list workflows, view TOML, validate without loading, trigger reload; errors surface inline.</t>
  </si>
  <si>
    <t xml:space="preserve">Browser exists; validate step may not be ported.</t>
  </si>
  <si>
    <t xml:space="preserve">WI-10</t>
  </si>
  <si>
    <t xml:space="preserve">Bases: validate granular IPC (13 handlers)</t>
  </si>
  <si>
    <t xml:space="preserve">nexus-storage (bases module) + nexus-database</t>
  </si>
  <si>
    <t xml:space="preserve">com.nexus.storage::base_load, base_create, base_record_{create,update,delete,soft_delete,restore}, base_property_{create,update,delete,rename}, base_view_{create,update,delete}</t>
  </si>
  <si>
    <t xml:space="preserve">shell/src/plugins/nexus/bases/  (Phases 1-6 claimed complete)</t>
  </si>
  <si>
    <t xml:space="preserve">load_forge_base, save_forge_base, db_apply_view</t>
  </si>
  <si>
    <t xml:space="preserve">Smoke-test each of 13 base_* handlers from shell plugin against a real .bases file; CRUD works for text/number/select/date/checkbox/formula/rollup columns; Table + Board + Calendar + Gallery + Timeline all render; CSV import/export round-trips.</t>
  </si>
  <si>
    <t xml:space="preserve">Shell uses finer-grained IPC than legacy's single db_apply_view. Architecturally better; just needs validation pass.</t>
  </si>
  <si>
    <t xml:space="preserve">WI-11</t>
  </si>
  <si>
    <t xml:space="preserve">Canvas: live-data validation + kernel IPC pass</t>
  </si>
  <si>
    <t xml:space="preserve">nexus-storage (canvas module)</t>
  </si>
  <si>
    <t xml:space="preserve">com.nexus.storage::canvas_read, canvas_write, canvas_patch, canvas_nodes, canvas_edges + com.nexus.linkpreview::fetch</t>
  </si>
  <si>
    <t xml:space="preserve">shell/src/plugins/nexus/canvas/  (Phases 1-6 claimed complete)</t>
  </si>
  <si>
    <t xml:space="preserve">(legacy has no canvas)</t>
  </si>
  <si>
    <t xml:space="preserve">new-only</t>
  </si>
  <si>
    <t xml:space="preserve">Open a real .canvas file, edit with drag/select/create, save persists (atomic via canvas_patch), minimap + auto-layout work, export PNG/SVG/PDF succeeds, embedded markdown/image/terminal nodes render.</t>
  </si>
  <si>
    <t xml:space="preserve">Primarily validation; implementation claims complete per canvas-shell-plan.md.</t>
  </si>
  <si>
    <t xml:space="preserve">WI-12</t>
  </si>
  <si>
    <t xml:space="preserve">Terminal: upgrade from poll to streaming events</t>
  </si>
  <si>
    <t xml:space="preserve">com.nexus.terminal::pump, read_output (current poll) → com.nexus.terminal.output.&lt;session_id&gt; (new stream event)</t>
  </si>
  <si>
    <t xml:space="preserve">shell/src/plugins/nexus/terminal/</t>
  </si>
  <si>
    <t xml:space="preserve">term_pump, term_read_output</t>
  </si>
  <si>
    <t xml:space="preserve">Terminal output streams via kernel event bus rather than 100ms polling; CPU usage drops to near-zero when idle; latency improves to &lt;16ms typical.</t>
  </si>
  <si>
    <t xml:space="preserve">Stretch: keep poll as fallback for very slow subscribers. Bonus item per integration review.</t>
  </si>
  <si>
    <t xml:space="preserve">WI-13</t>
  </si>
  <si>
    <t xml:space="preserve">URI handler registry + dispatch_uri port</t>
  </si>
  <si>
    <t xml:space="preserve">(shell-local registry)</t>
  </si>
  <si>
    <t xml:space="preserve">(none — UI extension point)</t>
  </si>
  <si>
    <t xml:space="preserve">shell/src/registry/UriHandlerRegistry.ts  (new)</t>
  </si>
  <si>
    <t xml:space="preserve">dispatch_uri, list_plugin_uri_handlers</t>
  </si>
  <si>
    <t xml:space="preserve">P2c</t>
  </si>
  <si>
    <t xml:space="preserve">Plugins can register URI handlers via api; nexus://... links from outside the app route to correct plugin handler; deep-link flows (open specific note by URI) work.</t>
  </si>
  <si>
    <t xml:space="preserve">Ship before v1 only if users have nexus:// links saved. Defer otherwise.</t>
  </si>
  <si>
    <t xml:space="preserve">WI-14</t>
  </si>
  <si>
    <t xml:space="preserve">Persistence migration script (legacy → shell-state.json)</t>
  </si>
  <si>
    <t xml:space="preserve">(standalone tool)</t>
  </si>
  <si>
    <t xml:space="preserve">(none)</t>
  </si>
  <si>
    <t xml:space="preserve">scripts/migrate-shell-state.ts  (new)</t>
  </si>
  <si>
    <t xml:space="preserve">get_layout_persistence, save_layout_persistence</t>
  </si>
  <si>
    <t xml:space="preserve">architectural-diff</t>
  </si>
  <si>
    <t xml:space="preserve">Run script on a legacy install → produces shell-state.json + workspace.json in new shell's expected locations; existing tabs, split sizes, last-forge-path preserved.</t>
  </si>
  <si>
    <t xml:space="preserve">Schemas differ (LayoutNode vs. ShellState+Leaf). Users on legacy should have smooth first-launch in new shell.</t>
  </si>
  <si>
    <t xml:space="preserve">WI-15</t>
  </si>
  <si>
    <t xml:space="preserve">DECISION: Layout presets — keep as named Leaf snapshots?</t>
  </si>
  <si>
    <t xml:space="preserve">(shell-local if kept)</t>
  </si>
  <si>
    <t xml:space="preserve">shell/src/workspace/PresetManager.ts  (if decided)</t>
  </si>
  <si>
    <t xml:space="preserve">get_default_layout, get_layout_preset, list_layout_presets</t>
  </si>
  <si>
    <t xml:space="preserve">P3</t>
  </si>
  <si>
    <t xml:space="preserve">Decide: retain preset concept (Obsidian/Vibe/Dev) or drop it. If retained, implement as named Leaf tree snapshots; if dropped, document rationale in ADR.</t>
  </si>
  <si>
    <t xml:space="preserve">Preset-picker was a PRD-07 feature. Low user count? Drop. If retained, implement.</t>
  </si>
  <si>
    <t xml:space="preserve">WI-16</t>
  </si>
  <si>
    <t xml:space="preserve">DECISION: Menu bar — reintroduce or palette-only?</t>
  </si>
  <si>
    <t xml:space="preserve">shell/src/plugins/nexus/menuBar/  (if decided)</t>
  </si>
  <si>
    <t xml:space="preserve">list_plugin_menu_items</t>
  </si>
  <si>
    <t xml:space="preserve">Decide: retain native MenuBar (File/Edit/View...) as a plugin, or commit fully to palette-first UX. Document the decision in an ADR.</t>
  </si>
  <si>
    <t xml:space="preserve">Palette covers most cases. MenuBar is useful for discoverability on macOS especially.</t>
  </si>
  <si>
    <t xml:space="preserve">WI-17</t>
  </si>
  <si>
    <t xml:space="preserve">DECISION: Ribbon vs activity bar contribution API alignment</t>
  </si>
  <si>
    <t xml:space="preserve">(shell-local)</t>
  </si>
  <si>
    <t xml:space="preserve">shell/src/plugins/nexus/activityBar/</t>
  </si>
  <si>
    <t xml:space="preserve">list_plugin_ribbon_items</t>
  </si>
  <si>
    <t xml:space="preserve">XS</t>
  </si>
  <si>
    <t xml:space="preserve">activityBar contribution API is documented in @nexus/extension-api with same expressiveness as legacy ribbon (icon, tooltip, badge, ordering, onClick). Migration note in docs.</t>
  </si>
  <si>
    <t xml:space="preserve">Mostly naming / API polish. Low effort.</t>
  </si>
  <si>
    <t xml:space="preserve">WI-18</t>
  </si>
  <si>
    <t xml:space="preserve">Plugin capability listing surfaced in shell settings</t>
  </si>
  <si>
    <t xml:space="preserve">nexus-plugins</t>
  </si>
  <si>
    <t xml:space="preserve">(shell introspection — list declared capabilities per plugin)</t>
  </si>
  <si>
    <t xml:space="preserve">shell/src/plugins/nexus/pluginsMgmt/</t>
  </si>
  <si>
    <t xml:space="preserve">list_plugin_capabilities</t>
  </si>
  <si>
    <t xml:space="preserve">Settings &gt; Plugins tab shows each plugin's declared capabilities with risk-level labels; prepares for install-time prompt in Phase 3.</t>
  </si>
  <si>
    <t xml:space="preserve">Precursor to install-time capability prompt (MK F-5.1.1, Phase 3).</t>
  </si>
  <si>
    <t xml:space="preserve">WI-19</t>
  </si>
  <si>
    <t xml:space="preserve">Activation events (deferred plugin load)</t>
  </si>
  <si>
    <t xml:space="preserve">(plugin loader)</t>
  </si>
  <si>
    <t xml:space="preserve">shell/src/host/ExtensionHost.ts</t>
  </si>
  <si>
    <t xml:space="preserve">list_plugin_activations</t>
  </si>
  <si>
    <t xml:space="preserve">Shell plugins can declare activation events (onView, onCommand, onUri, onLanguage, etc.); ExtensionHost defers load until event fires; cold-boot time improves measurably.</t>
  </si>
  <si>
    <t xml:space="preserve">Fixes O(n) cold-start scaling per FORGE-UI-PLAN deferred item.</t>
  </si>
  <si>
    <t xml:space="preserve">WI-20</t>
  </si>
  <si>
    <t xml:space="preserve">@nexus/extension-api: regenerate types via ts-rs + wire</t>
  </si>
  <si>
    <t xml:space="preserve">nexus-plugin-api (source) → packages/nexus-extension-api (target)</t>
  </si>
  <si>
    <t xml:space="preserve">(type definitions)</t>
  </si>
  <si>
    <t xml:space="preserve">all shell plugins switch imports</t>
  </si>
  <si>
    <t xml:space="preserve">(N/A — package currently unused)</t>
  </si>
  <si>
    <t xml:space="preserve">Capability, NexusEvent, IpcError, PluginInfo, TrustLevel et al. are generated from nexus-plugin-api via ts-rs; every shell plugin imports from @nexus/extension-api (zero raw Tauri/kernel imports); guardrail test enforces this.</t>
  </si>
  <si>
    <t xml:space="preserve">Package is already scaffolded at packages/nexus-extension-api/ v1.0.0 but zero importers. Wire it.</t>
  </si>
  <si>
    <t xml:space="preserve">WI-21</t>
  </si>
  <si>
    <t xml:space="preserve">File tree parity: legacy features (context menu, drag-drop)</t>
  </si>
  <si>
    <t xml:space="preserve">nexus-storage</t>
  </si>
  <si>
    <t xml:space="preserve">com.nexus.storage::list_dir, create_file, create_dir, rename_entry, delete_entry</t>
  </si>
  <si>
    <t xml:space="preserve">shell/src/plugins/nexus/files/</t>
  </si>
  <si>
    <t xml:space="preserve">create_forge_file, create_forge_dir, rename_forge_entry, delete_forge_entry</t>
  </si>
  <si>
    <t xml:space="preserve">Right-click on file/folder shows legacy-equivalent menu (new file/folder, rename, delete, reveal, copy path); drag-to-move works; keyboard shortcuts (F2 rename, Del delete) bound.</t>
  </si>
  <si>
    <t xml:space="preserve">Shell files plugin is live but polish gap vs. legacy FileTree.tsx. Small targeted work.</t>
  </si>
  <si>
    <t xml:space="preserve">WI-22</t>
  </si>
  <si>
    <t xml:space="preserve">Validation guardrail: prevent new #[tauri::command] in nexus-app</t>
  </si>
  <si>
    <t xml:space="preserve">(workspace-level test)</t>
  </si>
  <si>
    <t xml:space="preserve">crates/nexus-bootstrap/tests/dep_invariants.rs  (extend existing test)</t>
  </si>
  <si>
    <t xml:space="preserve">(meta — enforces the freeze policy)</t>
  </si>
  <si>
    <t xml:space="preserve">Build fails if any new line containing `#[tauri::command]` is added to crates/nexus-app/src/ beyond the current baseline count (95). Test message points the author to CONTRIBUTING.md.</t>
  </si>
  <si>
    <t xml:space="preserve">Structural enforcement of the freeze; prevents agent or human regressions. Simple grep-style assertion in the existing dep_invariants test.</t>
  </si>
  <si>
    <t xml:space="preserve">WI-23</t>
  </si>
  <si>
    <t xml:space="preserve">Validation guardrail: shell plugins don't import raw Tauri APIs</t>
  </si>
  <si>
    <t xml:space="preserve">(shell-level test)</t>
  </si>
  <si>
    <t xml:space="preserve">shell/e2e/  (extend)</t>
  </si>
  <si>
    <t xml:space="preserve">(meta)</t>
  </si>
  <si>
    <t xml:space="preserve">Test fails if any file in shell/src/plugins/{nexus,community}/ imports from '@tauri-apps/api' or the shell's host internals directly. Only @nexus/extension-api imports are permitted.</t>
  </si>
  <si>
    <t xml:space="preserve">Enforces 'shell plugins are JS clients' invariant from shell-kernel-bridge-plan.md.</t>
  </si>
  <si>
    <t xml:space="preserve">Metric</t>
  </si>
  <si>
    <t xml:space="preserve">Value</t>
  </si>
  <si>
    <t xml:space="preserve">Total work items</t>
  </si>
  <si>
    <t xml:space="preserve">P0 items</t>
  </si>
  <si>
    <t xml:space="preserve">P1 items</t>
  </si>
  <si>
    <t xml:space="preserve">P2 items</t>
  </si>
  <si>
    <t xml:space="preserve">P3 items</t>
  </si>
  <si>
    <t xml:space="preserve">Total estimated weeks</t>
  </si>
  <si>
    <t xml:space="preserve">P0 weeks (blockers)</t>
  </si>
  <si>
    <t xml:space="preserve">P1 weeks</t>
  </si>
  <si>
    <t xml:space="preserve">P2 weeks</t>
  </si>
  <si>
    <t xml:space="preserve">P3 weeks</t>
  </si>
  <si>
    <t xml:space="preserve">P2a weeks</t>
  </si>
  <si>
    <t xml:space="preserve">P2b weeks</t>
  </si>
  <si>
    <t xml:space="preserve">P2c weeks</t>
  </si>
  <si>
    <t xml:space="preserve">Completion %</t>
  </si>
  <si>
    <t xml:space="preserve">Column</t>
  </si>
  <si>
    <t xml:space="preserve">Meaning</t>
  </si>
  <si>
    <t xml:space="preserve">Stable work-item identifier (WI-NN). Use in commit messages and PR titles.</t>
  </si>
  <si>
    <t xml:space="preserve">Short action-oriented title.</t>
  </si>
  <si>
    <t xml:space="preserve">Which crates/nexus-* crate owns the backing IPC handler (or 'shell-local' / 'none').</t>
  </si>
  <si>
    <t xml:space="preserve">Exact IPC command(s) the shell plugin calls via api.kernel.invoke().</t>
  </si>
  <si>
    <t xml:space="preserve">Target plugin path in shell/src/ (existing or new).</t>
  </si>
  <si>
    <t xml:space="preserve">#[tauri::command] fns in crates/nexus-app to retire when this item ships.</t>
  </si>
  <si>
    <t xml:space="preserve">only-app = port needed. partial = finish weaker side. architectural-diff = decision required. new-only = no legacy equivalent (validation or guardrail work).</t>
  </si>
  <si>
    <t xml:space="preserve">XS ≤ 1 day · S ≈ 3 days · M ≈ 1 week · L ≈ 2 weeks · XL ≈ 3 weeks. Single-engineer estimates.</t>
  </si>
  <si>
    <t xml:space="preserve">Auto: size → weeks. Override manually if needed.</t>
  </si>
  <si>
    <t xml:space="preserve">P0 ships-blocker · P1 high · P2 normal · P3 nice-to-have.</t>
  </si>
  <si>
    <t xml:space="preserve">P2a first wave (leverage) · P2b features · P2c polish/decisions.</t>
  </si>
  <si>
    <t xml:space="preserve">todo · in-progress · done · blocked.</t>
  </si>
  <si>
    <t xml:space="preserve">Assignee. Blank = unclaimed.</t>
  </si>
  <si>
    <t xml:space="preserve">WI-IDs that must ship first.</t>
  </si>
  <si>
    <t xml:space="preserve">Binary 'done when …' test for the work item.</t>
  </si>
  <si>
    <t xml:space="preserve">Anything that doesn't fit elsewhere.</t>
  </si>
  <si>
    <t xml:space="preserve">Phase ordering</t>
  </si>
  <si>
    <t xml:space="preserve">Leverage items (AI, theme, editor, files, API wiring, guardrails). Ships first; unblocks downstream.</t>
  </si>
  <si>
    <t xml:space="preserve">Feature completeness (agent, skills, workflow, bases, canvas, streaming). Depends on P2a foundations.</t>
  </si>
  <si>
    <t xml:space="preserve">Peripheral + decisions (URI, persistence migration, layout-preset/menu-bar/ribbon ADR-level calls). Can slip without blocking v1 if scoped tight.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</si>
</sst>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8C9C9"/>
        <bgColor rgb="FFD5D2C8"/>
      </patternFill>
    </fill>
    <fill>
      <patternFill patternType="solid">
        <fgColor rgb="FFF5F5F0"/>
        <bgColor rgb="FFFFFFFF"/>
      </patternFill>
    </fill>
    <fill>
      <patternFill patternType="solid">
        <fgColor rgb="FFF5E4B8"/>
        <bgColor rgb="FFD8E6CB"/>
      </patternFill>
    </fill>
    <fill>
      <patternFill patternType="solid">
        <fgColor rgb="FFD8E6CB"/>
        <bgColor rgb="FFDDE3EF"/>
      </patternFill>
    </fill>
    <fill>
      <patternFill patternType="solid">
        <fgColor rgb="FFDDE3EF"/>
        <bgColor rgb="FFD8E6C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2C8"/>
      </left>
      <right style="thin">
        <color rgb="FFD5D2C8"/>
      </right>
      <top style="thin">
        <color rgb="FFD5D2C8"/>
      </top>
      <bottom style="thin">
        <color rgb="FFD5D2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5F5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8E6CB"/>
          <bgColor rgb="FF000000"/>
        </patternFill>
      </fill>
    </dxf>
    <dxf>
      <fill>
        <patternFill patternType="solid">
          <fgColor rgb="FFDDE3EF"/>
          <bgColor rgb="FF000000"/>
        </patternFill>
      </fill>
    </dxf>
    <dxf>
      <fill>
        <patternFill patternType="solid">
          <fgColor rgb="FFE8C9C9"/>
          <bgColor rgb="FF000000"/>
        </patternFill>
      </fill>
    </dxf>
    <dxf>
      <fill>
        <patternFill patternType="solid">
          <fgColor rgb="FFF5E4B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2C8"/>
      <rgbColor rgb="FF808080"/>
      <rgbColor rgb="FF9999FF"/>
      <rgbColor rgb="FF993366"/>
      <rgbColor rgb="FFF5F5F0"/>
      <rgbColor rgb="FFCCFFFF"/>
      <rgbColor rgb="FF660066"/>
      <rgbColor rgb="FFFF8080"/>
      <rgbColor rgb="FF0066CC"/>
      <rgbColor rgb="FFDDE3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6CB"/>
      <rgbColor rgb="FFF5E4B8"/>
      <rgbColor rgb="FF99CCFF"/>
      <rgbColor rgb="FFFF99CC"/>
      <rgbColor rgb="FFCC99FF"/>
      <rgbColor rgb="FFE8C9C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8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42"/>
    <col collapsed="false" customWidth="true" hidden="false" outlineLevel="0" max="7" min="7" style="0" width="15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70"/>
    <col collapsed="false" customWidth="true" hidden="false" outlineLevel="0" max="16" min="16" style="0" width="6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0.5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 t="s">
        <v>23</v>
      </c>
      <c r="I2" s="4" t="n">
        <v>2</v>
      </c>
      <c r="J2" s="5" t="s">
        <v>24</v>
      </c>
      <c r="K2" s="2" t="s">
        <v>25</v>
      </c>
      <c r="L2" s="2" t="s">
        <v>26</v>
      </c>
      <c r="M2" s="2"/>
      <c r="N2" s="2" t="s">
        <v>27</v>
      </c>
      <c r="O2" s="2" t="s">
        <v>28</v>
      </c>
      <c r="P2" s="2" t="s">
        <v>29</v>
      </c>
    </row>
    <row r="3" customFormat="false" ht="40.25" hidden="false" customHeight="false" outlineLevel="0" collapsed="false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22</v>
      </c>
      <c r="H3" s="7" t="s">
        <v>23</v>
      </c>
      <c r="I3" s="8" t="n">
        <v>2</v>
      </c>
      <c r="J3" s="9" t="s">
        <v>36</v>
      </c>
      <c r="K3" s="6" t="s">
        <v>25</v>
      </c>
      <c r="L3" s="6" t="s">
        <v>26</v>
      </c>
      <c r="M3" s="6"/>
      <c r="N3" s="6"/>
      <c r="O3" s="6" t="s">
        <v>37</v>
      </c>
      <c r="P3" s="6" t="s">
        <v>38</v>
      </c>
    </row>
    <row r="4" customFormat="false" ht="30.55" hidden="false" customHeight="false" outlineLevel="0" collapsed="false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3" t="s">
        <v>23</v>
      </c>
      <c r="I4" s="4" t="n">
        <v>2</v>
      </c>
      <c r="J4" s="5" t="s">
        <v>24</v>
      </c>
      <c r="K4" s="2" t="s">
        <v>25</v>
      </c>
      <c r="L4" s="2" t="s">
        <v>26</v>
      </c>
      <c r="M4" s="2"/>
      <c r="N4" s="2"/>
      <c r="O4" s="2" t="s">
        <v>46</v>
      </c>
      <c r="P4" s="2" t="s">
        <v>47</v>
      </c>
    </row>
    <row r="5" customFormat="false" ht="20.85" hidden="false" customHeight="false" outlineLevel="0" collapsed="false">
      <c r="A5" s="6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22</v>
      </c>
      <c r="H5" s="7" t="s">
        <v>54</v>
      </c>
      <c r="I5" s="8" t="n">
        <v>0.5</v>
      </c>
      <c r="J5" s="9" t="s">
        <v>36</v>
      </c>
      <c r="K5" s="6" t="s">
        <v>25</v>
      </c>
      <c r="L5" s="6" t="s">
        <v>26</v>
      </c>
      <c r="M5" s="6"/>
      <c r="N5" s="6"/>
      <c r="O5" s="6" t="s">
        <v>55</v>
      </c>
      <c r="P5" s="6" t="s">
        <v>56</v>
      </c>
    </row>
    <row r="6" customFormat="false" ht="30.55" hidden="false" customHeight="false" outlineLevel="0" collapsed="false">
      <c r="A6" s="2" t="s">
        <v>57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22</v>
      </c>
      <c r="H6" s="3" t="s">
        <v>54</v>
      </c>
      <c r="I6" s="4" t="n">
        <v>0.5</v>
      </c>
      <c r="J6" s="10" t="s">
        <v>63</v>
      </c>
      <c r="K6" s="2" t="s">
        <v>25</v>
      </c>
      <c r="L6" s="2" t="s">
        <v>26</v>
      </c>
      <c r="M6" s="2"/>
      <c r="N6" s="2"/>
      <c r="O6" s="2" t="s">
        <v>64</v>
      </c>
      <c r="P6" s="2" t="s">
        <v>65</v>
      </c>
    </row>
    <row r="7" customFormat="false" ht="30.55" hidden="false" customHeight="false" outlineLevel="0" collapsed="fals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45</v>
      </c>
      <c r="H7" s="7" t="s">
        <v>54</v>
      </c>
      <c r="I7" s="8" t="n">
        <v>0.5</v>
      </c>
      <c r="J7" s="5" t="s">
        <v>24</v>
      </c>
      <c r="K7" s="6" t="s">
        <v>25</v>
      </c>
      <c r="L7" s="6" t="s">
        <v>26</v>
      </c>
      <c r="M7" s="6"/>
      <c r="N7" s="6"/>
      <c r="O7" s="6" t="s">
        <v>72</v>
      </c>
      <c r="P7" s="6" t="s">
        <v>73</v>
      </c>
    </row>
    <row r="8" customFormat="false" ht="30.55" hidden="false" customHeight="false" outlineLevel="0" collapsed="false">
      <c r="A8" s="2" t="s">
        <v>74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45</v>
      </c>
      <c r="H8" s="3" t="s">
        <v>80</v>
      </c>
      <c r="I8" s="4" t="n">
        <v>1</v>
      </c>
      <c r="J8" s="9" t="s">
        <v>36</v>
      </c>
      <c r="K8" s="2" t="s">
        <v>81</v>
      </c>
      <c r="L8" s="2" t="s">
        <v>26</v>
      </c>
      <c r="M8" s="2"/>
      <c r="N8" s="2" t="s">
        <v>66</v>
      </c>
      <c r="O8" s="2" t="s">
        <v>82</v>
      </c>
      <c r="P8" s="2" t="s">
        <v>83</v>
      </c>
    </row>
    <row r="9" customFormat="false" ht="20.85" hidden="false" customHeight="false" outlineLevel="0" collapsed="false">
      <c r="A9" s="6" t="s">
        <v>84</v>
      </c>
      <c r="B9" s="6" t="s">
        <v>85</v>
      </c>
      <c r="C9" s="6" t="s">
        <v>86</v>
      </c>
      <c r="D9" s="6" t="s">
        <v>87</v>
      </c>
      <c r="E9" s="6" t="s">
        <v>88</v>
      </c>
      <c r="F9" s="6" t="s">
        <v>89</v>
      </c>
      <c r="G9" s="6" t="s">
        <v>45</v>
      </c>
      <c r="H9" s="7" t="s">
        <v>54</v>
      </c>
      <c r="I9" s="8" t="n">
        <v>0.5</v>
      </c>
      <c r="J9" s="10" t="s">
        <v>63</v>
      </c>
      <c r="K9" s="6" t="s">
        <v>81</v>
      </c>
      <c r="L9" s="6" t="s">
        <v>26</v>
      </c>
      <c r="M9" s="6"/>
      <c r="N9" s="6"/>
      <c r="O9" s="6" t="s">
        <v>90</v>
      </c>
      <c r="P9" s="6" t="s">
        <v>91</v>
      </c>
    </row>
    <row r="10" customFormat="false" ht="20.85" hidden="false" customHeight="false" outlineLevel="0" collapsed="false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45</v>
      </c>
      <c r="H10" s="3" t="s">
        <v>54</v>
      </c>
      <c r="I10" s="4" t="n">
        <v>0.5</v>
      </c>
      <c r="J10" s="10" t="s">
        <v>63</v>
      </c>
      <c r="K10" s="2" t="s">
        <v>81</v>
      </c>
      <c r="L10" s="2" t="s">
        <v>26</v>
      </c>
      <c r="M10" s="2"/>
      <c r="N10" s="2"/>
      <c r="O10" s="2" t="s">
        <v>98</v>
      </c>
      <c r="P10" s="2" t="s">
        <v>99</v>
      </c>
    </row>
    <row r="11" customFormat="false" ht="40.25" hidden="false" customHeight="false" outlineLevel="0" collapsed="false">
      <c r="A11" s="6" t="s">
        <v>100</v>
      </c>
      <c r="B11" s="6" t="s">
        <v>101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45</v>
      </c>
      <c r="H11" s="7" t="s">
        <v>80</v>
      </c>
      <c r="I11" s="8" t="n">
        <v>1</v>
      </c>
      <c r="J11" s="10" t="s">
        <v>63</v>
      </c>
      <c r="K11" s="6" t="s">
        <v>81</v>
      </c>
      <c r="L11" s="6" t="s">
        <v>26</v>
      </c>
      <c r="M11" s="6"/>
      <c r="N11" s="6"/>
      <c r="O11" s="6" t="s">
        <v>106</v>
      </c>
      <c r="P11" s="6" t="s">
        <v>107</v>
      </c>
    </row>
    <row r="12" customFormat="false" ht="30.55" hidden="false" customHeight="false" outlineLevel="0" collapsed="false">
      <c r="A12" s="2" t="s">
        <v>108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3" t="s">
        <v>80</v>
      </c>
      <c r="I12" s="4" t="n">
        <v>1</v>
      </c>
      <c r="J12" s="10" t="s">
        <v>63</v>
      </c>
      <c r="K12" s="2" t="s">
        <v>81</v>
      </c>
      <c r="L12" s="2" t="s">
        <v>26</v>
      </c>
      <c r="M12" s="2"/>
      <c r="N12" s="2"/>
      <c r="O12" s="2" t="s">
        <v>115</v>
      </c>
      <c r="P12" s="2" t="s">
        <v>116</v>
      </c>
    </row>
    <row r="13" customFormat="false" ht="30.55" hidden="false" customHeight="false" outlineLevel="0" collapsed="false">
      <c r="A13" s="6" t="s">
        <v>117</v>
      </c>
      <c r="B13" s="6" t="s">
        <v>118</v>
      </c>
      <c r="C13" s="6" t="s">
        <v>59</v>
      </c>
      <c r="D13" s="6" t="s">
        <v>119</v>
      </c>
      <c r="E13" s="6" t="s">
        <v>120</v>
      </c>
      <c r="F13" s="6" t="s">
        <v>121</v>
      </c>
      <c r="G13" s="6" t="s">
        <v>45</v>
      </c>
      <c r="H13" s="7" t="s">
        <v>80</v>
      </c>
      <c r="I13" s="8" t="n">
        <v>1</v>
      </c>
      <c r="J13" s="10" t="s">
        <v>63</v>
      </c>
      <c r="K13" s="6" t="s">
        <v>81</v>
      </c>
      <c r="L13" s="6" t="s">
        <v>26</v>
      </c>
      <c r="M13" s="6"/>
      <c r="N13" s="6" t="s">
        <v>66</v>
      </c>
      <c r="O13" s="6" t="s">
        <v>122</v>
      </c>
      <c r="P13" s="6" t="s">
        <v>123</v>
      </c>
    </row>
    <row r="14" customFormat="false" ht="20.85" hidden="false" customHeight="false" outlineLevel="0" collapsed="false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22</v>
      </c>
      <c r="H14" s="3" t="s">
        <v>54</v>
      </c>
      <c r="I14" s="4" t="n">
        <v>0.5</v>
      </c>
      <c r="J14" s="10" t="s">
        <v>63</v>
      </c>
      <c r="K14" s="2" t="s">
        <v>130</v>
      </c>
      <c r="L14" s="2" t="s">
        <v>26</v>
      </c>
      <c r="M14" s="2"/>
      <c r="N14" s="2"/>
      <c r="O14" s="2" t="s">
        <v>131</v>
      </c>
      <c r="P14" s="2" t="s">
        <v>132</v>
      </c>
    </row>
    <row r="15" customFormat="false" ht="20.85" hidden="false" customHeight="false" outlineLevel="0" collapsed="false">
      <c r="A15" s="6" t="s">
        <v>133</v>
      </c>
      <c r="B15" s="6" t="s">
        <v>134</v>
      </c>
      <c r="C15" s="6" t="s">
        <v>135</v>
      </c>
      <c r="D15" s="6" t="s">
        <v>136</v>
      </c>
      <c r="E15" s="6" t="s">
        <v>137</v>
      </c>
      <c r="F15" s="6" t="s">
        <v>138</v>
      </c>
      <c r="G15" s="6" t="s">
        <v>139</v>
      </c>
      <c r="H15" s="7" t="s">
        <v>54</v>
      </c>
      <c r="I15" s="8" t="n">
        <v>0.5</v>
      </c>
      <c r="J15" s="9" t="s">
        <v>36</v>
      </c>
      <c r="K15" s="6" t="s">
        <v>130</v>
      </c>
      <c r="L15" s="6" t="s">
        <v>26</v>
      </c>
      <c r="M15" s="6"/>
      <c r="N15" s="6"/>
      <c r="O15" s="6" t="s">
        <v>140</v>
      </c>
      <c r="P15" s="6" t="s">
        <v>141</v>
      </c>
    </row>
    <row r="16" customFormat="false" ht="20.85" hidden="false" customHeight="false" outlineLevel="0" collapsed="false">
      <c r="A16" s="2" t="s">
        <v>142</v>
      </c>
      <c r="B16" s="2" t="s">
        <v>143</v>
      </c>
      <c r="C16" s="2" t="s">
        <v>144</v>
      </c>
      <c r="D16" s="2" t="s">
        <v>136</v>
      </c>
      <c r="E16" s="2" t="s">
        <v>145</v>
      </c>
      <c r="F16" s="2" t="s">
        <v>146</v>
      </c>
      <c r="G16" s="2" t="s">
        <v>139</v>
      </c>
      <c r="H16" s="3" t="s">
        <v>80</v>
      </c>
      <c r="I16" s="4" t="n">
        <v>1</v>
      </c>
      <c r="J16" s="11" t="s">
        <v>147</v>
      </c>
      <c r="K16" s="2" t="s">
        <v>130</v>
      </c>
      <c r="L16" s="2" t="s">
        <v>26</v>
      </c>
      <c r="M16" s="2"/>
      <c r="N16" s="2"/>
      <c r="O16" s="2" t="s">
        <v>148</v>
      </c>
      <c r="P16" s="2" t="s">
        <v>149</v>
      </c>
    </row>
    <row r="17" customFormat="false" ht="20.85" hidden="false" customHeight="false" outlineLevel="0" collapsed="false">
      <c r="A17" s="6" t="s">
        <v>150</v>
      </c>
      <c r="B17" s="6" t="s">
        <v>151</v>
      </c>
      <c r="C17" s="6" t="s">
        <v>144</v>
      </c>
      <c r="D17" s="6" t="s">
        <v>136</v>
      </c>
      <c r="E17" s="6" t="s">
        <v>152</v>
      </c>
      <c r="F17" s="6" t="s">
        <v>153</v>
      </c>
      <c r="G17" s="6" t="s">
        <v>139</v>
      </c>
      <c r="H17" s="7" t="s">
        <v>80</v>
      </c>
      <c r="I17" s="8" t="n">
        <v>1</v>
      </c>
      <c r="J17" s="11" t="s">
        <v>147</v>
      </c>
      <c r="K17" s="6" t="s">
        <v>130</v>
      </c>
      <c r="L17" s="6" t="s">
        <v>26</v>
      </c>
      <c r="M17" s="6"/>
      <c r="N17" s="6"/>
      <c r="O17" s="6" t="s">
        <v>154</v>
      </c>
      <c r="P17" s="6" t="s">
        <v>155</v>
      </c>
    </row>
    <row r="18" customFormat="false" ht="30.55" hidden="false" customHeight="false" outlineLevel="0" collapsed="false">
      <c r="A18" s="2" t="s">
        <v>156</v>
      </c>
      <c r="B18" s="2" t="s">
        <v>157</v>
      </c>
      <c r="C18" s="2" t="s">
        <v>158</v>
      </c>
      <c r="D18" s="2" t="s">
        <v>136</v>
      </c>
      <c r="E18" s="2" t="s">
        <v>159</v>
      </c>
      <c r="F18" s="2" t="s">
        <v>160</v>
      </c>
      <c r="G18" s="2" t="s">
        <v>139</v>
      </c>
      <c r="H18" s="3" t="s">
        <v>161</v>
      </c>
      <c r="I18" s="4" t="n">
        <v>0.25</v>
      </c>
      <c r="J18" s="11" t="s">
        <v>147</v>
      </c>
      <c r="K18" s="2" t="s">
        <v>130</v>
      </c>
      <c r="L18" s="2" t="s">
        <v>26</v>
      </c>
      <c r="M18" s="2"/>
      <c r="N18" s="2"/>
      <c r="O18" s="2" t="s">
        <v>162</v>
      </c>
      <c r="P18" s="2" t="s">
        <v>163</v>
      </c>
    </row>
    <row r="19" customFormat="false" ht="20.85" hidden="false" customHeight="false" outlineLevel="0" collapsed="false">
      <c r="A19" s="6" t="s">
        <v>164</v>
      </c>
      <c r="B19" s="6" t="s">
        <v>165</v>
      </c>
      <c r="C19" s="6" t="s">
        <v>166</v>
      </c>
      <c r="D19" s="6" t="s">
        <v>167</v>
      </c>
      <c r="E19" s="6" t="s">
        <v>168</v>
      </c>
      <c r="F19" s="6" t="s">
        <v>169</v>
      </c>
      <c r="G19" s="6" t="s">
        <v>22</v>
      </c>
      <c r="H19" s="7" t="s">
        <v>54</v>
      </c>
      <c r="I19" s="8" t="n">
        <v>0.5</v>
      </c>
      <c r="J19" s="9" t="s">
        <v>36</v>
      </c>
      <c r="K19" s="6" t="s">
        <v>130</v>
      </c>
      <c r="L19" s="6" t="s">
        <v>26</v>
      </c>
      <c r="M19" s="6"/>
      <c r="N19" s="6"/>
      <c r="O19" s="6" t="s">
        <v>170</v>
      </c>
      <c r="P19" s="6" t="s">
        <v>171</v>
      </c>
    </row>
    <row r="20" customFormat="false" ht="20.85" hidden="false" customHeight="false" outlineLevel="0" collapsed="false">
      <c r="A20" s="2" t="s">
        <v>172</v>
      </c>
      <c r="B20" s="2" t="s">
        <v>173</v>
      </c>
      <c r="C20" s="2" t="s">
        <v>166</v>
      </c>
      <c r="D20" s="2" t="s">
        <v>174</v>
      </c>
      <c r="E20" s="2" t="s">
        <v>175</v>
      </c>
      <c r="F20" s="2" t="s">
        <v>176</v>
      </c>
      <c r="G20" s="2" t="s">
        <v>22</v>
      </c>
      <c r="H20" s="3" t="s">
        <v>80</v>
      </c>
      <c r="I20" s="4" t="n">
        <v>1</v>
      </c>
      <c r="J20" s="10" t="s">
        <v>63</v>
      </c>
      <c r="K20" s="2" t="s">
        <v>130</v>
      </c>
      <c r="L20" s="2" t="s">
        <v>26</v>
      </c>
      <c r="M20" s="2"/>
      <c r="N20" s="2"/>
      <c r="O20" s="2" t="s">
        <v>177</v>
      </c>
      <c r="P20" s="2" t="s">
        <v>178</v>
      </c>
    </row>
    <row r="21" customFormat="false" ht="30.55" hidden="false" customHeight="false" outlineLevel="0" collapsed="false">
      <c r="A21" s="6" t="s">
        <v>179</v>
      </c>
      <c r="B21" s="6" t="s">
        <v>180</v>
      </c>
      <c r="C21" s="6" t="s">
        <v>181</v>
      </c>
      <c r="D21" s="6" t="s">
        <v>182</v>
      </c>
      <c r="E21" s="6" t="s">
        <v>183</v>
      </c>
      <c r="F21" s="6" t="s">
        <v>184</v>
      </c>
      <c r="G21" s="6" t="s">
        <v>114</v>
      </c>
      <c r="H21" s="7" t="s">
        <v>80</v>
      </c>
      <c r="I21" s="8" t="n">
        <v>1</v>
      </c>
      <c r="J21" s="5" t="s">
        <v>24</v>
      </c>
      <c r="K21" s="6" t="s">
        <v>25</v>
      </c>
      <c r="L21" s="6" t="s">
        <v>26</v>
      </c>
      <c r="M21" s="6"/>
      <c r="N21" s="6"/>
      <c r="O21" s="6" t="s">
        <v>185</v>
      </c>
      <c r="P21" s="6" t="s">
        <v>186</v>
      </c>
    </row>
    <row r="22" customFormat="false" ht="20.85" hidden="false" customHeight="false" outlineLevel="0" collapsed="false">
      <c r="A22" s="2" t="s">
        <v>187</v>
      </c>
      <c r="B22" s="2" t="s">
        <v>188</v>
      </c>
      <c r="C22" s="2" t="s">
        <v>189</v>
      </c>
      <c r="D22" s="2" t="s">
        <v>190</v>
      </c>
      <c r="E22" s="2" t="s">
        <v>191</v>
      </c>
      <c r="F22" s="2" t="s">
        <v>192</v>
      </c>
      <c r="G22" s="2" t="s">
        <v>45</v>
      </c>
      <c r="H22" s="3" t="s">
        <v>54</v>
      </c>
      <c r="I22" s="4" t="n">
        <v>0.5</v>
      </c>
      <c r="J22" s="9" t="s">
        <v>36</v>
      </c>
      <c r="K22" s="2" t="s">
        <v>25</v>
      </c>
      <c r="L22" s="2" t="s">
        <v>26</v>
      </c>
      <c r="M22" s="2"/>
      <c r="N22" s="2"/>
      <c r="O22" s="2" t="s">
        <v>193</v>
      </c>
      <c r="P22" s="2" t="s">
        <v>194</v>
      </c>
    </row>
    <row r="23" customFormat="false" ht="30.55" hidden="false" customHeight="false" outlineLevel="0" collapsed="false">
      <c r="A23" s="6" t="s">
        <v>195</v>
      </c>
      <c r="B23" s="6" t="s">
        <v>196</v>
      </c>
      <c r="C23" s="6" t="s">
        <v>197</v>
      </c>
      <c r="D23" s="6" t="s">
        <v>136</v>
      </c>
      <c r="E23" s="6" t="s">
        <v>198</v>
      </c>
      <c r="F23" s="6" t="s">
        <v>199</v>
      </c>
      <c r="G23" s="6" t="s">
        <v>114</v>
      </c>
      <c r="H23" s="7" t="s">
        <v>161</v>
      </c>
      <c r="I23" s="8" t="n">
        <v>0.25</v>
      </c>
      <c r="J23" s="5" t="s">
        <v>24</v>
      </c>
      <c r="K23" s="6" t="s">
        <v>25</v>
      </c>
      <c r="L23" s="6" t="s">
        <v>26</v>
      </c>
      <c r="M23" s="6"/>
      <c r="N23" s="6"/>
      <c r="O23" s="6" t="s">
        <v>200</v>
      </c>
      <c r="P23" s="6" t="s">
        <v>201</v>
      </c>
    </row>
    <row r="24" customFormat="false" ht="20.85" hidden="false" customHeight="false" outlineLevel="0" collapsed="false">
      <c r="A24" s="2" t="s">
        <v>202</v>
      </c>
      <c r="B24" s="2" t="s">
        <v>203</v>
      </c>
      <c r="C24" s="2" t="s">
        <v>204</v>
      </c>
      <c r="D24" s="2" t="s">
        <v>136</v>
      </c>
      <c r="E24" s="2" t="s">
        <v>205</v>
      </c>
      <c r="F24" s="2" t="s">
        <v>206</v>
      </c>
      <c r="G24" s="2" t="s">
        <v>114</v>
      </c>
      <c r="H24" s="3" t="s">
        <v>161</v>
      </c>
      <c r="I24" s="4" t="n">
        <v>0.25</v>
      </c>
      <c r="J24" s="9" t="s">
        <v>36</v>
      </c>
      <c r="K24" s="2" t="s">
        <v>25</v>
      </c>
      <c r="L24" s="2" t="s">
        <v>26</v>
      </c>
      <c r="M24" s="2"/>
      <c r="N24" s="2" t="s">
        <v>179</v>
      </c>
      <c r="O24" s="2" t="s">
        <v>207</v>
      </c>
      <c r="P24" s="2" t="s">
        <v>208</v>
      </c>
    </row>
  </sheetData>
  <autoFilter ref="A1:P24"/>
  <dataValidations count="4">
    <dataValidation allowBlank="true" errorStyle="stop" operator="between" showDropDown="false" showErrorMessage="false" showInputMessage="false" sqref="H2:H24" type="list">
      <formula1>"XS,S,M,L,XL"</formula1>
      <formula2>0</formula2>
    </dataValidation>
    <dataValidation allowBlank="true" errorStyle="stop" operator="between" showDropDown="false" showErrorMessage="false" showInputMessage="false" sqref="J2:J24" type="list">
      <formula1>"P0,P1,P2,P3"</formula1>
      <formula2>0</formula2>
    </dataValidation>
    <dataValidation allowBlank="true" errorStyle="stop" operator="between" showDropDown="false" showErrorMessage="false" showInputMessage="false" sqref="K2:K24" type="list">
      <formula1>"P2a,P2b,P2c"</formula1>
      <formula2>0</formula2>
    </dataValidation>
    <dataValidation allowBlank="true" errorStyle="stop" operator="between" showDropDown="false" showErrorMessage="false" showInputMessage="false" sqref="L2:L24" type="list">
      <formula1>"todo,in-progress,done,blocked"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2" t="s">
        <v>209</v>
      </c>
      <c r="B1" s="12" t="s">
        <v>210</v>
      </c>
    </row>
    <row r="2" customFormat="false" ht="15" hidden="false" customHeight="false" outlineLevel="0" collapsed="false">
      <c r="A2" s="13" t="s">
        <v>211</v>
      </c>
      <c r="B2" s="13" t="n">
        <f aca="false">COUNTA('Parity Checklist'!A2:A24)</f>
        <v>23</v>
      </c>
    </row>
    <row r="3" customFormat="false" ht="15" hidden="false" customHeight="false" outlineLevel="0" collapsed="false">
      <c r="A3" s="14" t="s">
        <v>212</v>
      </c>
      <c r="B3" s="14" t="n">
        <f aca="false">COUNTIF('Parity Checklist'!J2:J24,"P0")</f>
        <v>5</v>
      </c>
    </row>
    <row r="4" customFormat="false" ht="15" hidden="false" customHeight="false" outlineLevel="0" collapsed="false">
      <c r="A4" s="13" t="s">
        <v>213</v>
      </c>
      <c r="B4" s="13" t="n">
        <f aca="false">COUNTIF('Parity Checklist'!J2:J24,"P1")</f>
        <v>7</v>
      </c>
    </row>
    <row r="5" customFormat="false" ht="15" hidden="false" customHeight="false" outlineLevel="0" collapsed="false">
      <c r="A5" s="14" t="s">
        <v>214</v>
      </c>
      <c r="B5" s="14" t="n">
        <f aca="false">COUNTIF('Parity Checklist'!J2:J24,"P2")</f>
        <v>8</v>
      </c>
    </row>
    <row r="6" customFormat="false" ht="15" hidden="false" customHeight="false" outlineLevel="0" collapsed="false">
      <c r="A6" s="13" t="s">
        <v>215</v>
      </c>
      <c r="B6" s="13" t="n">
        <f aca="false">COUNTIF('Parity Checklist'!J2:J24,"P3")</f>
        <v>3</v>
      </c>
    </row>
    <row r="7" customFormat="false" ht="15" hidden="false" customHeight="false" outlineLevel="0" collapsed="false">
      <c r="A7" s="14"/>
      <c r="B7" s="14"/>
    </row>
    <row r="8" customFormat="false" ht="15" hidden="false" customHeight="false" outlineLevel="0" collapsed="false">
      <c r="A8" s="13" t="s">
        <v>216</v>
      </c>
      <c r="B8" s="15" t="n">
        <f aca="false">SUM('Parity Checklist'!I2:I24)</f>
        <v>19.25</v>
      </c>
    </row>
    <row r="9" customFormat="false" ht="15" hidden="false" customHeight="false" outlineLevel="0" collapsed="false">
      <c r="A9" s="14" t="s">
        <v>217</v>
      </c>
      <c r="B9" s="16" t="n">
        <f aca="false">SUMIF('Parity Checklist'!J2:J24,"P0",'Parity Checklist'!I2:I24)</f>
        <v>5.75</v>
      </c>
    </row>
    <row r="10" customFormat="false" ht="15" hidden="false" customHeight="false" outlineLevel="0" collapsed="false">
      <c r="A10" s="13" t="s">
        <v>218</v>
      </c>
      <c r="B10" s="15" t="n">
        <f aca="false">SUMIF('Parity Checklist'!J2:J24,"P1",'Parity Checklist'!I2:I24)</f>
        <v>5.25</v>
      </c>
    </row>
    <row r="11" customFormat="false" ht="15" hidden="false" customHeight="false" outlineLevel="0" collapsed="false">
      <c r="A11" s="14" t="s">
        <v>219</v>
      </c>
      <c r="B11" s="16" t="n">
        <f aca="false">SUMIF('Parity Checklist'!J2:J24,"P2",'Parity Checklist'!I2:I24)</f>
        <v>6</v>
      </c>
    </row>
    <row r="12" customFormat="false" ht="15" hidden="false" customHeight="false" outlineLevel="0" collapsed="false">
      <c r="A12" s="13" t="s">
        <v>220</v>
      </c>
      <c r="B12" s="15" t="n">
        <f aca="false">SUMIF('Parity Checklist'!J2:J24,"P3",'Parity Checklist'!I2:I24)</f>
        <v>2.25</v>
      </c>
    </row>
    <row r="13" customFormat="false" ht="15" hidden="false" customHeight="false" outlineLevel="0" collapsed="false">
      <c r="A13" s="14"/>
      <c r="B13" s="16"/>
    </row>
    <row r="14" customFormat="false" ht="15" hidden="false" customHeight="false" outlineLevel="0" collapsed="false">
      <c r="A14" s="13" t="s">
        <v>221</v>
      </c>
      <c r="B14" s="15" t="n">
        <f aca="false">SUMIF('Parity Checklist'!K2:K24,"P2a",'Parity Checklist'!I2:I24)</f>
        <v>9.5</v>
      </c>
    </row>
    <row r="15" customFormat="false" ht="15" hidden="false" customHeight="false" outlineLevel="0" collapsed="false">
      <c r="A15" s="14" t="s">
        <v>222</v>
      </c>
      <c r="B15" s="16" t="n">
        <f aca="false">SUMIF('Parity Checklist'!K2:K24,"P2b",'Parity Checklist'!I2:I24)</f>
        <v>5</v>
      </c>
    </row>
    <row r="16" customFormat="false" ht="15" hidden="false" customHeight="false" outlineLevel="0" collapsed="false">
      <c r="A16" s="13" t="s">
        <v>223</v>
      </c>
      <c r="B16" s="13" t="n">
        <f aca="false">SUMIF('Parity Checklist'!K2:K24,"P2c",'Parity Checklist'!I2:I24)</f>
        <v>4.75</v>
      </c>
    </row>
    <row r="17" customFormat="false" ht="15" hidden="false" customHeight="false" outlineLevel="0" collapsed="false">
      <c r="A17" s="14"/>
      <c r="B17" s="14"/>
    </row>
    <row r="18" customFormat="false" ht="15" hidden="false" customHeight="false" outlineLevel="0" collapsed="false">
      <c r="A18" s="13" t="s">
        <v>224</v>
      </c>
      <c r="B18" s="17" t="n">
        <f aca="false">COUNTIF('Parity Checklist'!L2:L24,"done")/COUNTA('Parity Checklist'!L2:L24)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8" t="s">
        <v>225</v>
      </c>
      <c r="B1" s="18" t="s">
        <v>226</v>
      </c>
    </row>
    <row r="2" customFormat="false" ht="15" hidden="false" customHeight="false" outlineLevel="0" collapsed="false">
      <c r="A2" s="19" t="s">
        <v>0</v>
      </c>
      <c r="B2" s="20" t="s">
        <v>227</v>
      </c>
    </row>
    <row r="3" customFormat="false" ht="15" hidden="false" customHeight="false" outlineLevel="0" collapsed="false">
      <c r="A3" s="19" t="s">
        <v>1</v>
      </c>
      <c r="B3" s="20" t="s">
        <v>228</v>
      </c>
    </row>
    <row r="4" customFormat="false" ht="15" hidden="false" customHeight="false" outlineLevel="0" collapsed="false">
      <c r="A4" s="19" t="s">
        <v>2</v>
      </c>
      <c r="B4" s="20" t="s">
        <v>229</v>
      </c>
    </row>
    <row r="5" customFormat="false" ht="15" hidden="false" customHeight="false" outlineLevel="0" collapsed="false">
      <c r="A5" s="19" t="s">
        <v>3</v>
      </c>
      <c r="B5" s="20" t="s">
        <v>230</v>
      </c>
    </row>
    <row r="6" customFormat="false" ht="15" hidden="false" customHeight="false" outlineLevel="0" collapsed="false">
      <c r="A6" s="19" t="s">
        <v>4</v>
      </c>
      <c r="B6" s="20" t="s">
        <v>231</v>
      </c>
    </row>
    <row r="7" customFormat="false" ht="15" hidden="false" customHeight="false" outlineLevel="0" collapsed="false">
      <c r="A7" s="19" t="s">
        <v>5</v>
      </c>
      <c r="B7" s="20" t="s">
        <v>232</v>
      </c>
    </row>
    <row r="8" customFormat="false" ht="23.85" hidden="false" customHeight="false" outlineLevel="0" collapsed="false">
      <c r="A8" s="19" t="s">
        <v>6</v>
      </c>
      <c r="B8" s="20" t="s">
        <v>233</v>
      </c>
    </row>
    <row r="9" customFormat="false" ht="15" hidden="false" customHeight="false" outlineLevel="0" collapsed="false">
      <c r="A9" s="19" t="s">
        <v>7</v>
      </c>
      <c r="B9" s="20" t="s">
        <v>234</v>
      </c>
    </row>
    <row r="10" customFormat="false" ht="15" hidden="false" customHeight="false" outlineLevel="0" collapsed="false">
      <c r="A10" s="19" t="s">
        <v>8</v>
      </c>
      <c r="B10" s="20" t="s">
        <v>235</v>
      </c>
    </row>
    <row r="11" customFormat="false" ht="15" hidden="false" customHeight="false" outlineLevel="0" collapsed="false">
      <c r="A11" s="19" t="s">
        <v>9</v>
      </c>
      <c r="B11" s="20" t="s">
        <v>236</v>
      </c>
    </row>
    <row r="12" customFormat="false" ht="15" hidden="false" customHeight="false" outlineLevel="0" collapsed="false">
      <c r="A12" s="19" t="s">
        <v>10</v>
      </c>
      <c r="B12" s="20" t="s">
        <v>237</v>
      </c>
    </row>
    <row r="13" customFormat="false" ht="15" hidden="false" customHeight="false" outlineLevel="0" collapsed="false">
      <c r="A13" s="19" t="s">
        <v>11</v>
      </c>
      <c r="B13" s="20" t="s">
        <v>238</v>
      </c>
    </row>
    <row r="14" customFormat="false" ht="15" hidden="false" customHeight="false" outlineLevel="0" collapsed="false">
      <c r="A14" s="19" t="s">
        <v>12</v>
      </c>
      <c r="B14" s="20" t="s">
        <v>239</v>
      </c>
    </row>
    <row r="15" customFormat="false" ht="15" hidden="false" customHeight="false" outlineLevel="0" collapsed="false">
      <c r="A15" s="19" t="s">
        <v>13</v>
      </c>
      <c r="B15" s="20" t="s">
        <v>240</v>
      </c>
    </row>
    <row r="16" customFormat="false" ht="15" hidden="false" customHeight="false" outlineLevel="0" collapsed="false">
      <c r="A16" s="19" t="s">
        <v>14</v>
      </c>
      <c r="B16" s="20" t="s">
        <v>241</v>
      </c>
    </row>
    <row r="17" customFormat="false" ht="15" hidden="false" customHeight="false" outlineLevel="0" collapsed="false">
      <c r="A17" s="19" t="s">
        <v>15</v>
      </c>
      <c r="B17" s="20" t="s">
        <v>242</v>
      </c>
    </row>
    <row r="18" customFormat="false" ht="15" hidden="false" customHeight="false" outlineLevel="0" collapsed="false">
      <c r="A18" s="19"/>
      <c r="B18" s="20"/>
    </row>
    <row r="19" customFormat="false" ht="15" hidden="false" customHeight="false" outlineLevel="0" collapsed="false">
      <c r="A19" s="18" t="s">
        <v>243</v>
      </c>
      <c r="B19" s="20"/>
    </row>
    <row r="20" customFormat="false" ht="15" hidden="false" customHeight="false" outlineLevel="0" collapsed="false">
      <c r="A20" s="19" t="s">
        <v>25</v>
      </c>
      <c r="B20" s="20" t="s">
        <v>244</v>
      </c>
    </row>
    <row r="21" customFormat="false" ht="15" hidden="false" customHeight="false" outlineLevel="0" collapsed="false">
      <c r="A21" s="19" t="s">
        <v>81</v>
      </c>
      <c r="B21" s="20" t="s">
        <v>245</v>
      </c>
    </row>
    <row r="22" customFormat="false" ht="23.85" hidden="false" customHeight="false" outlineLevel="0" collapsed="false">
      <c r="A22" s="19" t="s">
        <v>130</v>
      </c>
      <c r="B22" s="20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2026-04-23T16:30:57Z</dcterms:created>
  <dc:creator>openpyxl</dc:creator>
  <dc:description/>
  <dc:language>en-US</dc:language>
  <cp:lastModifiedBy/>
  <dcterms:modified xsi:type="dcterms:W3CDTF">2026-04-23T16:30:57Z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